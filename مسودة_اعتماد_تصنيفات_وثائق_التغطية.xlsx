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ba_waad_system-main_success\tba_waad_system-main\"/>
    </mc:Choice>
  </mc:AlternateContent>
  <xr:revisionPtr revIDLastSave="0" documentId="13_ncr:1_{5F37845F-6342-4D18-805E-B56077B2689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تعليمات الاعتماد" sheetId="1" r:id="rId1"/>
    <sheet name="مسودة الاعتماد" sheetId="2" r:id="rId2"/>
    <sheet name="مرجع الملف الأصلي" sheetId="3" r:id="rId3"/>
    <sheet name="ملخص المراجعة" sheetId="4" r:id="rId4"/>
  </sheets>
  <definedNames>
    <definedName name="_xlnm._FilterDatabase" localSheetId="0" hidden="1">'تعليمات الاعتماد'!$A$1:$B$10</definedName>
    <definedName name="_xlnm._FilterDatabase" localSheetId="2" hidden="1">'مرجع الملف الأصلي'!$A$1:$D$35</definedName>
    <definedName name="_xlnm._FilterDatabase" localSheetId="1" hidden="1">'مسودة الاعتماد'!$A$1:$J$54</definedName>
    <definedName name="_xlnm._FilterDatabase" localSheetId="3" hidden="1">'ملخص المراجعة'!$A$1:$B$7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B5" i="4"/>
  <c r="B4" i="4"/>
  <c r="B3" i="4"/>
  <c r="B7" i="4" s="1"/>
  <c r="B2" i="4"/>
</calcChain>
</file>

<file path=xl/sharedStrings.xml><?xml version="1.0" encoding="utf-8"?>
<sst xmlns="http://schemas.openxmlformats.org/spreadsheetml/2006/main" count="536" uniqueCount="159">
  <si>
    <t>البند</t>
  </si>
  <si>
    <t>البيان</t>
  </si>
  <si>
    <t>الغرض</t>
  </si>
  <si>
    <t>هذه مسودة لاعتماد أسماء تصنيفات جداول وثائق التغطية قبل تنفيذها في المنظومة.</t>
  </si>
  <si>
    <t>مصدر الأسماء</t>
  </si>
  <si>
    <t>قائمة التصنيفات المعتمدة النهائي_كامل.xlsx فقط.</t>
  </si>
  <si>
    <t>المطلوب منك</t>
  </si>
  <si>
    <t>راجع عمود «الاسم النهائي المعتمد»، عدّله عند الحاجة، ثم اختر قرار الاعتماد لكل صف.</t>
  </si>
  <si>
    <t>قيد المراجعة</t>
  </si>
  <si>
    <t>لا يُنفذ الصف في قاعدة البيانات.</t>
  </si>
  <si>
    <t>معتمد</t>
  </si>
  <si>
    <t>الصيغة النهائية جاهزة للتنفيذ.</t>
  </si>
  <si>
    <t>تعديل مطلوب</t>
  </si>
  <si>
    <t>اكتب الصيغة المطلوبة في الاسم النهائي والملاحظة.</t>
  </si>
  <si>
    <t>مرفوض</t>
  </si>
  <si>
    <t>لن يدخل البند في التصنيفات النهائية.</t>
  </si>
  <si>
    <t>ملاحظة</t>
  </si>
  <si>
    <t>CAT-IP وCAT-OP ظاهران في ورقة المرجع كسياقين، وليس كبندين طبيين في مسودة الاعتماد.</t>
  </si>
  <si>
    <t>تنبيه</t>
  </si>
  <si>
    <t>لم تُرحّل أي بيانات ولم يُعدّل مخطط قاعدة البيانات أو الكود بناءً على هذه المسودة.</t>
  </si>
  <si>
    <t>م</t>
  </si>
  <si>
    <t>الرمز/الرموز في الملف</t>
  </si>
  <si>
    <t>الاسم الأصلي كما في الملف</t>
  </si>
  <si>
    <t>التصنيف الأب في الملف</t>
  </si>
  <si>
    <t>الإجراء المقترح</t>
  </si>
  <si>
    <t>الصيغة المقترحة من ألفاظ الملف</t>
  </si>
  <si>
    <t>صيغة بديلة موجودة في الملف</t>
  </si>
  <si>
    <t>الاسم النهائي المعتمد (قابل للتعديل)</t>
  </si>
  <si>
    <t>قرار الاعتماد</t>
  </si>
  <si>
    <t>ملاحظاتك</t>
  </si>
  <si>
    <t>CAT-OPT</t>
  </si>
  <si>
    <t>نظارة طبية</t>
  </si>
  <si>
    <t>بدون أب</t>
  </si>
  <si>
    <t>إبقاء</t>
  </si>
  <si>
    <t>CAT-Go</t>
  </si>
  <si>
    <t>خدمات نادرة</t>
  </si>
  <si>
    <t>CAT001</t>
  </si>
  <si>
    <t>الايواء و العمليات</t>
  </si>
  <si>
    <t>CAT-IP</t>
  </si>
  <si>
    <t>فك مركب</t>
  </si>
  <si>
    <t>الايواء</t>
  </si>
  <si>
    <t>العمليات</t>
  </si>
  <si>
    <t>CAT002</t>
  </si>
  <si>
    <t>الدواء والمستلزمات الطبية</t>
  </si>
  <si>
    <t>الدواء</t>
  </si>
  <si>
    <t>المستلزمات الطبية</t>
  </si>
  <si>
    <t>CAT003</t>
  </si>
  <si>
    <t>العناية الفائقة و عناية القلب</t>
  </si>
  <si>
    <t>العناية الفائقة</t>
  </si>
  <si>
    <t>عناية القلب</t>
  </si>
  <si>
    <t>CAT004</t>
  </si>
  <si>
    <t>رسوم الاطباء و الجراحين , المستشارين , اجور الممارسين و تفقات التخدير و المعدات و المواد الجراحية</t>
  </si>
  <si>
    <t>رسوم الاطباء</t>
  </si>
  <si>
    <t>رسوم الجراحين</t>
  </si>
  <si>
    <t>المستشارين</t>
  </si>
  <si>
    <t>اجور الممارسين</t>
  </si>
  <si>
    <t>تفقات التخدير</t>
  </si>
  <si>
    <t>المعدات الجراحية</t>
  </si>
  <si>
    <t>المواد الجراحية</t>
  </si>
  <si>
    <t>CAT005</t>
  </si>
  <si>
    <t>الكشوف التشخيصية ( داخل المشفى ) العلاج والرعاية اليومية</t>
  </si>
  <si>
    <t>الكشوف التشخيصية ( داخل المشفى )</t>
  </si>
  <si>
    <t>العلاج</t>
  </si>
  <si>
    <t>الرعاية اليومية</t>
  </si>
  <si>
    <t>CAT006</t>
  </si>
  <si>
    <t>علاج الاسنان بالطوارئ للمريض داخل مستشفى</t>
  </si>
  <si>
    <t>CAT007</t>
  </si>
  <si>
    <t>الاسعاف المحلي</t>
  </si>
  <si>
    <t>CAT008</t>
  </si>
  <si>
    <t>التمريض في المنزل أو النقاهة ( بديل الاقامة بعد الخروج )</t>
  </si>
  <si>
    <t>CAT009 + CAT027</t>
  </si>
  <si>
    <t>العلاج الطبيعي + العلاج الطبيعي المقرَّر</t>
  </si>
  <si>
    <t>CAT-IP + CAT-OP</t>
  </si>
  <si>
    <t>توحيد مرشح</t>
  </si>
  <si>
    <t>العلاج الطبيعي</t>
  </si>
  <si>
    <t>العلاج الطبيعي المقرَّر</t>
  </si>
  <si>
    <t>اختر إحدى الصيغتين الموجودتين في الملف أو عدّل الاسم النهائي.</t>
  </si>
  <si>
    <t>CAT010</t>
  </si>
  <si>
    <t>تكلفة اصابات العمل</t>
  </si>
  <si>
    <t>CAT011 + CAT024</t>
  </si>
  <si>
    <t>التصوير بالرنين المغناطيسي و المقطعي و الطبقي + التصوير بالرنين المغناطيسي و المقطعي والمسح الطبقي</t>
  </si>
  <si>
    <t>التصوير بالرنين المغناطيسي و المقطعي و الطبقي</t>
  </si>
  <si>
    <t>التصوير بالرنين المغناطيسي و المقطعي والمسح الطبقي</t>
  </si>
  <si>
    <t>CAT012</t>
  </si>
  <si>
    <t>التصوير بالاشعة و تحليل العينات و الفحوص التشخيصية</t>
  </si>
  <si>
    <t>التصوير بالاشعة</t>
  </si>
  <si>
    <t>تحليل العينات</t>
  </si>
  <si>
    <t>الفحوص التشخيصية</t>
  </si>
  <si>
    <t>CAT013</t>
  </si>
  <si>
    <t>زرع الاعضاء</t>
  </si>
  <si>
    <t>CAT014</t>
  </si>
  <si>
    <t>الطب النفسي ( أدوية وجلسات )</t>
  </si>
  <si>
    <t>الطب النفسي ( أدوية )</t>
  </si>
  <si>
    <t>الطب النفسي ( جلسات )</t>
  </si>
  <si>
    <t>CAT015</t>
  </si>
  <si>
    <t>جراحة للمريض خارج المستشفى</t>
  </si>
  <si>
    <t>CAT-OP</t>
  </si>
  <si>
    <t>CAT016</t>
  </si>
  <si>
    <t>الاورام ( داخل المستشفى , خارج المستشفى )</t>
  </si>
  <si>
    <t>CAT017</t>
  </si>
  <si>
    <t>الغسيل الكلوي</t>
  </si>
  <si>
    <t>CAT018</t>
  </si>
  <si>
    <t>الاخلاء الطبي</t>
  </si>
  <si>
    <t>CAT019</t>
  </si>
  <si>
    <t>تكلفة شخص مرافق واحد للشخص الذي تم اخلاءه</t>
  </si>
  <si>
    <t>CAT020</t>
  </si>
  <si>
    <t>تكلفة السفر لاحد افراد عائلة المؤمن عليه في حالة الاخلاء</t>
  </si>
  <si>
    <t>CAT021</t>
  </si>
  <si>
    <t>الولادة الطبيعية و القيصرية</t>
  </si>
  <si>
    <t>الولادة الطبيعية</t>
  </si>
  <si>
    <t>الولادة القيصرية</t>
  </si>
  <si>
    <t>CAT022</t>
  </si>
  <si>
    <t>مضاعفات الحمل و الولادة</t>
  </si>
  <si>
    <t>CAT023</t>
  </si>
  <si>
    <t>رسوم اخصائيين و ممارسي مهنة الطب , العلاج النفسي , تحاليل و مختبرات و اشعة سينية و اشعة تشخيصية</t>
  </si>
  <si>
    <t>رسوم اخصائيين</t>
  </si>
  <si>
    <t>ممارسي مهنة الطب</t>
  </si>
  <si>
    <t>العلاج النفسي</t>
  </si>
  <si>
    <t>تحاليل</t>
  </si>
  <si>
    <t>مختبرات</t>
  </si>
  <si>
    <t>اشعة سينية</t>
  </si>
  <si>
    <t>اشعة تشخيصية</t>
  </si>
  <si>
    <t>CAT025</t>
  </si>
  <si>
    <t>العلاجات و الادوية الروتينية وفق الوصفة الطبية</t>
  </si>
  <si>
    <t>CAT026</t>
  </si>
  <si>
    <t>الاجهزه و المعدات الطبية و فق تقرير الطبيب المختص</t>
  </si>
  <si>
    <t>CAT028</t>
  </si>
  <si>
    <t>علاج الاسنان الروتيني ( كشف- خلع- حشو- تنظيف )</t>
  </si>
  <si>
    <t>CAT029</t>
  </si>
  <si>
    <t>علاج الاسنان ( تركيب -تقويم- زراعة )</t>
  </si>
  <si>
    <t>علاج الاسنان ( تركيب )</t>
  </si>
  <si>
    <t>علاج الاسنان ( تقويم )</t>
  </si>
  <si>
    <t>علاج الاسنان ( زراعة )</t>
  </si>
  <si>
    <t>CAT030</t>
  </si>
  <si>
    <t>كشوف العيون</t>
  </si>
  <si>
    <t>الرمز</t>
  </si>
  <si>
    <t>الاسم</t>
  </si>
  <si>
    <t>التصنيف الأب</t>
  </si>
  <si>
    <t>الحالة</t>
  </si>
  <si>
    <t>نعم</t>
  </si>
  <si>
    <t>إيواء</t>
  </si>
  <si>
    <t>عيادات خارجية</t>
  </si>
  <si>
    <t>CAT009</t>
  </si>
  <si>
    <t>CAT011</t>
  </si>
  <si>
    <t>CAT024</t>
  </si>
  <si>
    <t>CAT027</t>
  </si>
  <si>
    <t>المؤشر</t>
  </si>
  <si>
    <t>القيمة</t>
  </si>
  <si>
    <t>إجمالي البنود المقترحة</t>
  </si>
  <si>
    <t>جاهز للتنفيذ؟</t>
  </si>
  <si>
    <t>الايواء و العلاج غرفة خاصة</t>
  </si>
  <si>
    <t>العمليات الجراحية</t>
  </si>
  <si>
    <t>رسوم الأطباء والجراحيين و المستشاريين و الممارسين</t>
  </si>
  <si>
    <t xml:space="preserve">تفقات التخدير والمعدات والمواد الجراحية </t>
  </si>
  <si>
    <t>علاج الاورام</t>
  </si>
  <si>
    <t>رسوم الأطباء الاخصائيين و الممارسين</t>
  </si>
  <si>
    <t>تحاليل و مختبرات</t>
  </si>
  <si>
    <t>اشعة سينية و اشعة تشخيصية</t>
  </si>
  <si>
    <t>علاج الاسنان ( تركيب - تقويم - زراعة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</si>
</sst>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 style="thin">
        <color rgb="FFB8C2CC"/>
      </right>
      <top/>
      <bottom/>
      <diagonal/>
    </border>
    <border>
      <left style="thin">
        <color rgb="FFB8C2CC"/>
      </left>
      <right style="thin">
        <color rgb="FFB8C2CC"/>
      </right>
      <top/>
      <bottom style="thin">
        <color rgb="FFB8C2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 applyProtection="1">
      <alignment vertical="center" wrapText="1"/>
      <protection locked="0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rightToLeft="1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24" customWidth="1"/>
    <col min="2" max="2" width="105" customWidth="1"/>
  </cols>
  <sheetData>
    <row r="1" spans="1:2" ht="34.049999999999997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</sheetData>
  <autoFilter ref="A1:B1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rightToLeft="1" tabSelected="1" workbookViewId="0">
      <pane ySplit="1" topLeftCell="A46" activePane="bottomLeft" state="frozen"/>
      <selection pane="bottomLeft" activeCell="F54" sqref="F54"/>
    </sheetView>
  </sheetViews>
  <sheetFormatPr defaultRowHeight="13.8" x14ac:dyDescent="0.25"/>
  <cols>
    <col min="1" max="1" width="6" customWidth="1"/>
    <col min="2" max="2" width="20" customWidth="1"/>
    <col min="3" max="3" width="54" customWidth="1"/>
    <col min="4" max="5" width="18" customWidth="1"/>
    <col min="6" max="7" width="38" customWidth="1"/>
    <col min="8" max="8" width="42" customWidth="1"/>
    <col min="9" max="9" width="18" customWidth="1"/>
    <col min="10" max="10" width="48" customWidth="1"/>
  </cols>
  <sheetData>
    <row r="1" spans="1:10" ht="34.049999999999997" customHeigh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 ht="45" customHeight="1" x14ac:dyDescent="0.25">
      <c r="A2" s="2">
        <v>1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31</v>
      </c>
      <c r="G2" s="2"/>
      <c r="H2" s="3" t="s">
        <v>31</v>
      </c>
      <c r="I2" s="3" t="s">
        <v>8</v>
      </c>
      <c r="J2" s="3"/>
    </row>
    <row r="3" spans="1:10" ht="45" customHeight="1" x14ac:dyDescent="0.25">
      <c r="A3" s="2">
        <v>2</v>
      </c>
      <c r="B3" s="2" t="s">
        <v>34</v>
      </c>
      <c r="C3" s="2" t="s">
        <v>35</v>
      </c>
      <c r="D3" s="2" t="s">
        <v>32</v>
      </c>
      <c r="E3" s="2" t="s">
        <v>33</v>
      </c>
      <c r="F3" s="2" t="s">
        <v>35</v>
      </c>
      <c r="G3" s="2"/>
      <c r="H3" s="3" t="s">
        <v>35</v>
      </c>
      <c r="I3" s="3" t="s">
        <v>8</v>
      </c>
      <c r="J3" s="3"/>
    </row>
    <row r="4" spans="1:10" ht="45" customHeight="1" x14ac:dyDescent="0.25">
      <c r="A4" s="2">
        <v>3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150</v>
      </c>
      <c r="G4" s="2"/>
      <c r="H4" s="3" t="s">
        <v>40</v>
      </c>
      <c r="I4" s="3" t="s">
        <v>8</v>
      </c>
      <c r="J4" s="3"/>
    </row>
    <row r="5" spans="1:10" ht="45" customHeight="1" x14ac:dyDescent="0.25">
      <c r="A5" s="2">
        <v>4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151</v>
      </c>
      <c r="G5" s="2"/>
      <c r="H5" s="3" t="s">
        <v>41</v>
      </c>
      <c r="I5" s="3" t="s">
        <v>8</v>
      </c>
      <c r="J5" s="3"/>
    </row>
    <row r="6" spans="1:10" ht="45" customHeight="1" x14ac:dyDescent="0.25">
      <c r="A6" s="2">
        <v>5</v>
      </c>
      <c r="B6" s="2" t="s">
        <v>42</v>
      </c>
      <c r="C6" s="2" t="s">
        <v>43</v>
      </c>
      <c r="D6" s="2" t="s">
        <v>38</v>
      </c>
      <c r="E6" s="2" t="s">
        <v>39</v>
      </c>
      <c r="F6" s="2" t="s">
        <v>44</v>
      </c>
      <c r="G6" s="2"/>
      <c r="H6" s="3" t="s">
        <v>44</v>
      </c>
      <c r="I6" s="3" t="s">
        <v>8</v>
      </c>
      <c r="J6" s="3"/>
    </row>
    <row r="7" spans="1:10" ht="45" customHeight="1" x14ac:dyDescent="0.25">
      <c r="A7" s="2">
        <v>6</v>
      </c>
      <c r="B7" s="2" t="s">
        <v>42</v>
      </c>
      <c r="C7" s="2" t="s">
        <v>43</v>
      </c>
      <c r="D7" s="2" t="s">
        <v>38</v>
      </c>
      <c r="E7" s="2" t="s">
        <v>39</v>
      </c>
      <c r="F7" s="2" t="s">
        <v>45</v>
      </c>
      <c r="G7" s="2"/>
      <c r="H7" s="3" t="s">
        <v>45</v>
      </c>
      <c r="I7" s="3" t="s">
        <v>8</v>
      </c>
      <c r="J7" s="3"/>
    </row>
    <row r="8" spans="1:10" ht="45" customHeight="1" x14ac:dyDescent="0.25">
      <c r="A8" s="2">
        <v>7</v>
      </c>
      <c r="B8" s="2" t="s">
        <v>46</v>
      </c>
      <c r="C8" s="2" t="s">
        <v>47</v>
      </c>
      <c r="D8" s="2" t="s">
        <v>38</v>
      </c>
      <c r="E8" s="2" t="s">
        <v>39</v>
      </c>
      <c r="F8" s="2" t="s">
        <v>48</v>
      </c>
      <c r="G8" s="2"/>
      <c r="H8" s="3" t="s">
        <v>48</v>
      </c>
      <c r="I8" s="3" t="s">
        <v>8</v>
      </c>
      <c r="J8" s="3"/>
    </row>
    <row r="9" spans="1:10" ht="45" customHeight="1" x14ac:dyDescent="0.25">
      <c r="A9" s="2">
        <v>8</v>
      </c>
      <c r="B9" s="2" t="s">
        <v>46</v>
      </c>
      <c r="C9" s="2" t="s">
        <v>47</v>
      </c>
      <c r="D9" s="2" t="s">
        <v>38</v>
      </c>
      <c r="E9" s="2" t="s">
        <v>39</v>
      </c>
      <c r="F9" s="2" t="s">
        <v>49</v>
      </c>
      <c r="G9" s="2"/>
      <c r="H9" s="3" t="s">
        <v>49</v>
      </c>
      <c r="I9" s="3" t="s">
        <v>8</v>
      </c>
      <c r="J9" s="3"/>
    </row>
    <row r="10" spans="1:10" ht="45" customHeight="1" x14ac:dyDescent="0.25">
      <c r="A10" s="2">
        <v>9</v>
      </c>
      <c r="B10" s="2" t="s">
        <v>50</v>
      </c>
      <c r="C10" s="2" t="s">
        <v>51</v>
      </c>
      <c r="D10" s="2" t="s">
        <v>38</v>
      </c>
      <c r="E10" s="2" t="s">
        <v>39</v>
      </c>
      <c r="F10" s="4" t="s">
        <v>152</v>
      </c>
      <c r="G10" s="2"/>
      <c r="H10" s="3" t="s">
        <v>52</v>
      </c>
      <c r="I10" s="3" t="s">
        <v>8</v>
      </c>
      <c r="J10" s="3"/>
    </row>
    <row r="11" spans="1:10" ht="45" customHeight="1" x14ac:dyDescent="0.25">
      <c r="A11" s="2">
        <v>10</v>
      </c>
      <c r="B11" s="2" t="s">
        <v>50</v>
      </c>
      <c r="C11" s="2" t="s">
        <v>51</v>
      </c>
      <c r="D11" s="2" t="s">
        <v>38</v>
      </c>
      <c r="E11" s="2" t="s">
        <v>39</v>
      </c>
      <c r="F11" s="5"/>
      <c r="G11" s="2"/>
      <c r="H11" s="3" t="s">
        <v>53</v>
      </c>
      <c r="I11" s="3" t="s">
        <v>8</v>
      </c>
      <c r="J11" s="3"/>
    </row>
    <row r="12" spans="1:10" ht="45" customHeight="1" x14ac:dyDescent="0.25">
      <c r="A12" s="2">
        <v>11</v>
      </c>
      <c r="B12" s="2" t="s">
        <v>50</v>
      </c>
      <c r="C12" s="2" t="s">
        <v>51</v>
      </c>
      <c r="D12" s="2" t="s">
        <v>38</v>
      </c>
      <c r="E12" s="2" t="s">
        <v>39</v>
      </c>
      <c r="F12" s="5"/>
      <c r="G12" s="2"/>
      <c r="H12" s="3" t="s">
        <v>54</v>
      </c>
      <c r="I12" s="3" t="s">
        <v>8</v>
      </c>
      <c r="J12" s="3"/>
    </row>
    <row r="13" spans="1:10" ht="45" customHeight="1" x14ac:dyDescent="0.25">
      <c r="A13" s="2">
        <v>12</v>
      </c>
      <c r="B13" s="2" t="s">
        <v>50</v>
      </c>
      <c r="C13" s="2" t="s">
        <v>51</v>
      </c>
      <c r="D13" s="2" t="s">
        <v>38</v>
      </c>
      <c r="E13" s="2" t="s">
        <v>39</v>
      </c>
      <c r="F13" s="6"/>
      <c r="G13" s="2"/>
      <c r="H13" s="3" t="s">
        <v>55</v>
      </c>
      <c r="I13" s="3" t="s">
        <v>8</v>
      </c>
      <c r="J13" s="3"/>
    </row>
    <row r="14" spans="1:10" ht="45" customHeight="1" x14ac:dyDescent="0.25">
      <c r="A14" s="2">
        <v>13</v>
      </c>
      <c r="B14" s="2" t="s">
        <v>50</v>
      </c>
      <c r="C14" s="2" t="s">
        <v>51</v>
      </c>
      <c r="D14" s="2" t="s">
        <v>38</v>
      </c>
      <c r="E14" s="2" t="s">
        <v>39</v>
      </c>
      <c r="F14" s="4" t="s">
        <v>153</v>
      </c>
      <c r="G14" s="2"/>
      <c r="H14" s="3" t="s">
        <v>56</v>
      </c>
      <c r="I14" s="3" t="s">
        <v>8</v>
      </c>
      <c r="J14" s="3"/>
    </row>
    <row r="15" spans="1:10" ht="45" customHeight="1" x14ac:dyDescent="0.25">
      <c r="A15" s="2">
        <v>14</v>
      </c>
      <c r="B15" s="2" t="s">
        <v>50</v>
      </c>
      <c r="C15" s="2" t="s">
        <v>51</v>
      </c>
      <c r="D15" s="2" t="s">
        <v>38</v>
      </c>
      <c r="E15" s="2" t="s">
        <v>39</v>
      </c>
      <c r="F15" s="5"/>
      <c r="G15" s="2"/>
      <c r="H15" s="3" t="s">
        <v>57</v>
      </c>
      <c r="I15" s="3" t="s">
        <v>8</v>
      </c>
      <c r="J15" s="3"/>
    </row>
    <row r="16" spans="1:10" ht="45" customHeight="1" x14ac:dyDescent="0.25">
      <c r="A16" s="2">
        <v>15</v>
      </c>
      <c r="B16" s="2" t="s">
        <v>50</v>
      </c>
      <c r="C16" s="2" t="s">
        <v>51</v>
      </c>
      <c r="D16" s="2" t="s">
        <v>38</v>
      </c>
      <c r="E16" s="2" t="s">
        <v>39</v>
      </c>
      <c r="F16" s="6"/>
      <c r="G16" s="2"/>
      <c r="H16" s="3" t="s">
        <v>58</v>
      </c>
      <c r="I16" s="3" t="s">
        <v>8</v>
      </c>
      <c r="J16" s="3"/>
    </row>
    <row r="17" spans="1:10" ht="45" customHeight="1" x14ac:dyDescent="0.25">
      <c r="A17" s="2">
        <v>16</v>
      </c>
      <c r="B17" s="2" t="s">
        <v>59</v>
      </c>
      <c r="C17" s="2" t="s">
        <v>60</v>
      </c>
      <c r="D17" s="2" t="s">
        <v>38</v>
      </c>
      <c r="E17" s="2" t="s">
        <v>39</v>
      </c>
      <c r="F17" s="4" t="s">
        <v>60</v>
      </c>
      <c r="G17" s="2"/>
      <c r="H17" s="3" t="s">
        <v>61</v>
      </c>
      <c r="I17" s="3" t="s">
        <v>8</v>
      </c>
      <c r="J17" s="3"/>
    </row>
    <row r="18" spans="1:10" ht="45" customHeight="1" x14ac:dyDescent="0.25">
      <c r="A18" s="2">
        <v>17</v>
      </c>
      <c r="B18" s="2" t="s">
        <v>59</v>
      </c>
      <c r="C18" s="2" t="s">
        <v>60</v>
      </c>
      <c r="D18" s="2" t="s">
        <v>38</v>
      </c>
      <c r="E18" s="2" t="s">
        <v>39</v>
      </c>
      <c r="F18" s="5"/>
      <c r="G18" s="2"/>
      <c r="H18" s="3" t="s">
        <v>62</v>
      </c>
      <c r="I18" s="3" t="s">
        <v>8</v>
      </c>
      <c r="J18" s="3"/>
    </row>
    <row r="19" spans="1:10" ht="45" customHeight="1" x14ac:dyDescent="0.25">
      <c r="A19" s="2">
        <v>18</v>
      </c>
      <c r="B19" s="2" t="s">
        <v>59</v>
      </c>
      <c r="C19" s="2" t="s">
        <v>60</v>
      </c>
      <c r="D19" s="2" t="s">
        <v>38</v>
      </c>
      <c r="E19" s="2" t="s">
        <v>39</v>
      </c>
      <c r="F19" s="6"/>
      <c r="G19" s="2"/>
      <c r="H19" s="3" t="s">
        <v>63</v>
      </c>
      <c r="I19" s="3" t="s">
        <v>8</v>
      </c>
      <c r="J19" s="3"/>
    </row>
    <row r="20" spans="1:10" ht="45" customHeight="1" x14ac:dyDescent="0.25">
      <c r="A20" s="2">
        <v>19</v>
      </c>
      <c r="B20" s="2" t="s">
        <v>64</v>
      </c>
      <c r="C20" s="2" t="s">
        <v>65</v>
      </c>
      <c r="D20" s="2" t="s">
        <v>38</v>
      </c>
      <c r="E20" s="2" t="s">
        <v>33</v>
      </c>
      <c r="F20" s="2" t="s">
        <v>65</v>
      </c>
      <c r="G20" s="2"/>
      <c r="H20" s="3" t="s">
        <v>65</v>
      </c>
      <c r="I20" s="3" t="s">
        <v>8</v>
      </c>
      <c r="J20" s="3"/>
    </row>
    <row r="21" spans="1:10" ht="45" customHeight="1" x14ac:dyDescent="0.25">
      <c r="A21" s="2">
        <v>20</v>
      </c>
      <c r="B21" s="2" t="s">
        <v>66</v>
      </c>
      <c r="C21" s="2" t="s">
        <v>67</v>
      </c>
      <c r="D21" s="2" t="s">
        <v>38</v>
      </c>
      <c r="E21" s="2" t="s">
        <v>33</v>
      </c>
      <c r="F21" s="2" t="s">
        <v>67</v>
      </c>
      <c r="G21" s="2"/>
      <c r="H21" s="3" t="s">
        <v>67</v>
      </c>
      <c r="I21" s="3" t="s">
        <v>8</v>
      </c>
      <c r="J21" s="3"/>
    </row>
    <row r="22" spans="1:10" ht="45" customHeight="1" x14ac:dyDescent="0.25">
      <c r="A22" s="2">
        <v>21</v>
      </c>
      <c r="B22" s="2" t="s">
        <v>68</v>
      </c>
      <c r="C22" s="2" t="s">
        <v>69</v>
      </c>
      <c r="D22" s="2" t="s">
        <v>38</v>
      </c>
      <c r="E22" s="2" t="s">
        <v>33</v>
      </c>
      <c r="F22" s="2" t="s">
        <v>69</v>
      </c>
      <c r="G22" s="2"/>
      <c r="H22" s="3" t="s">
        <v>69</v>
      </c>
      <c r="I22" s="3" t="s">
        <v>8</v>
      </c>
      <c r="J22" s="3"/>
    </row>
    <row r="23" spans="1:10" ht="45" customHeight="1" x14ac:dyDescent="0.25">
      <c r="A23" s="2">
        <v>22</v>
      </c>
      <c r="B23" s="2" t="s">
        <v>70</v>
      </c>
      <c r="C23" s="2" t="s">
        <v>71</v>
      </c>
      <c r="D23" s="2" t="s">
        <v>72</v>
      </c>
      <c r="E23" s="2" t="s">
        <v>73</v>
      </c>
      <c r="F23" s="2" t="s">
        <v>74</v>
      </c>
      <c r="G23" s="2" t="s">
        <v>75</v>
      </c>
      <c r="H23" s="3" t="s">
        <v>74</v>
      </c>
      <c r="I23" s="3" t="s">
        <v>8</v>
      </c>
      <c r="J23" s="3" t="s">
        <v>76</v>
      </c>
    </row>
    <row r="24" spans="1:10" ht="45" customHeight="1" x14ac:dyDescent="0.25">
      <c r="A24" s="2">
        <v>23</v>
      </c>
      <c r="B24" s="2" t="s">
        <v>77</v>
      </c>
      <c r="C24" s="2" t="s">
        <v>78</v>
      </c>
      <c r="D24" s="2" t="s">
        <v>38</v>
      </c>
      <c r="E24" s="2" t="s">
        <v>33</v>
      </c>
      <c r="F24" s="2" t="s">
        <v>78</v>
      </c>
      <c r="G24" s="2"/>
      <c r="H24" s="3" t="s">
        <v>78</v>
      </c>
      <c r="I24" s="3" t="s">
        <v>8</v>
      </c>
      <c r="J24" s="3"/>
    </row>
    <row r="25" spans="1:10" ht="45" customHeight="1" x14ac:dyDescent="0.25">
      <c r="A25" s="2">
        <v>24</v>
      </c>
      <c r="B25" s="2" t="s">
        <v>79</v>
      </c>
      <c r="C25" s="2" t="s">
        <v>80</v>
      </c>
      <c r="D25" s="2" t="s">
        <v>72</v>
      </c>
      <c r="E25" s="2" t="s">
        <v>73</v>
      </c>
      <c r="F25" s="2" t="s">
        <v>81</v>
      </c>
      <c r="G25" s="2" t="s">
        <v>82</v>
      </c>
      <c r="H25" s="3" t="s">
        <v>81</v>
      </c>
      <c r="I25" s="3" t="s">
        <v>8</v>
      </c>
      <c r="J25" s="3" t="s">
        <v>76</v>
      </c>
    </row>
    <row r="26" spans="1:10" ht="45" customHeight="1" x14ac:dyDescent="0.25">
      <c r="A26" s="2">
        <v>25</v>
      </c>
      <c r="B26" s="2" t="s">
        <v>83</v>
      </c>
      <c r="C26" s="2" t="s">
        <v>84</v>
      </c>
      <c r="D26" s="2" t="s">
        <v>38</v>
      </c>
      <c r="E26" s="2" t="s">
        <v>39</v>
      </c>
      <c r="F26" s="2" t="s">
        <v>85</v>
      </c>
      <c r="G26" s="2"/>
      <c r="H26" s="3" t="s">
        <v>85</v>
      </c>
      <c r="I26" s="3" t="s">
        <v>8</v>
      </c>
      <c r="J26" s="3"/>
    </row>
    <row r="27" spans="1:10" ht="45" customHeight="1" x14ac:dyDescent="0.25">
      <c r="A27" s="2">
        <v>26</v>
      </c>
      <c r="B27" s="2" t="s">
        <v>83</v>
      </c>
      <c r="C27" s="2" t="s">
        <v>84</v>
      </c>
      <c r="D27" s="2" t="s">
        <v>38</v>
      </c>
      <c r="E27" s="2" t="s">
        <v>39</v>
      </c>
      <c r="F27" s="2" t="s">
        <v>86</v>
      </c>
      <c r="G27" s="2"/>
      <c r="H27" s="3" t="s">
        <v>86</v>
      </c>
      <c r="I27" s="3" t="s">
        <v>8</v>
      </c>
      <c r="J27" s="3"/>
    </row>
    <row r="28" spans="1:10" ht="45" customHeight="1" x14ac:dyDescent="0.25">
      <c r="A28" s="2">
        <v>27</v>
      </c>
      <c r="B28" s="2" t="s">
        <v>83</v>
      </c>
      <c r="C28" s="2" t="s">
        <v>84</v>
      </c>
      <c r="D28" s="2" t="s">
        <v>38</v>
      </c>
      <c r="E28" s="2" t="s">
        <v>39</v>
      </c>
      <c r="F28" s="2" t="s">
        <v>87</v>
      </c>
      <c r="G28" s="2"/>
      <c r="H28" s="3" t="s">
        <v>87</v>
      </c>
      <c r="I28" s="3" t="s">
        <v>8</v>
      </c>
      <c r="J28" s="3"/>
    </row>
    <row r="29" spans="1:10" ht="45" customHeight="1" x14ac:dyDescent="0.25">
      <c r="A29" s="2">
        <v>28</v>
      </c>
      <c r="B29" s="2" t="s">
        <v>88</v>
      </c>
      <c r="C29" s="2" t="s">
        <v>89</v>
      </c>
      <c r="D29" s="2" t="s">
        <v>38</v>
      </c>
      <c r="E29" s="2" t="s">
        <v>33</v>
      </c>
      <c r="F29" s="2" t="s">
        <v>89</v>
      </c>
      <c r="G29" s="2"/>
      <c r="H29" s="3" t="s">
        <v>89</v>
      </c>
      <c r="I29" s="3" t="s">
        <v>8</v>
      </c>
      <c r="J29" s="3"/>
    </row>
    <row r="30" spans="1:10" ht="45" customHeight="1" x14ac:dyDescent="0.25">
      <c r="A30" s="2">
        <v>29</v>
      </c>
      <c r="B30" s="2" t="s">
        <v>90</v>
      </c>
      <c r="C30" s="2" t="s">
        <v>91</v>
      </c>
      <c r="D30" s="2" t="s">
        <v>38</v>
      </c>
      <c r="E30" s="2" t="s">
        <v>39</v>
      </c>
      <c r="F30" s="4" t="s">
        <v>92</v>
      </c>
      <c r="G30" s="2"/>
      <c r="H30" s="3" t="s">
        <v>92</v>
      </c>
      <c r="I30" s="3" t="s">
        <v>8</v>
      </c>
      <c r="J30" s="3"/>
    </row>
    <row r="31" spans="1:10" ht="45" customHeight="1" x14ac:dyDescent="0.25">
      <c r="A31" s="2">
        <v>30</v>
      </c>
      <c r="B31" s="2" t="s">
        <v>90</v>
      </c>
      <c r="C31" s="2" t="s">
        <v>91</v>
      </c>
      <c r="D31" s="2" t="s">
        <v>38</v>
      </c>
      <c r="E31" s="2" t="s">
        <v>39</v>
      </c>
      <c r="F31" s="6"/>
      <c r="G31" s="2"/>
      <c r="H31" s="3" t="s">
        <v>93</v>
      </c>
      <c r="I31" s="3" t="s">
        <v>8</v>
      </c>
      <c r="J31" s="3"/>
    </row>
    <row r="32" spans="1:10" ht="45" customHeight="1" x14ac:dyDescent="0.25">
      <c r="A32" s="2">
        <v>31</v>
      </c>
      <c r="B32" s="2" t="s">
        <v>94</v>
      </c>
      <c r="C32" s="2" t="s">
        <v>95</v>
      </c>
      <c r="D32" s="2" t="s">
        <v>96</v>
      </c>
      <c r="E32" s="2" t="s">
        <v>33</v>
      </c>
      <c r="F32" s="2" t="s">
        <v>95</v>
      </c>
      <c r="G32" s="2"/>
      <c r="H32" s="3" t="s">
        <v>95</v>
      </c>
      <c r="I32" s="3" t="s">
        <v>8</v>
      </c>
      <c r="J32" s="3"/>
    </row>
    <row r="33" spans="1:10" ht="45" customHeight="1" x14ac:dyDescent="0.25">
      <c r="A33" s="2">
        <v>32</v>
      </c>
      <c r="B33" s="2" t="s">
        <v>97</v>
      </c>
      <c r="C33" s="2" t="s">
        <v>98</v>
      </c>
      <c r="D33" s="2" t="s">
        <v>38</v>
      </c>
      <c r="E33" s="2" t="s">
        <v>33</v>
      </c>
      <c r="F33" s="2" t="s">
        <v>154</v>
      </c>
      <c r="G33" s="2"/>
      <c r="H33" s="3" t="s">
        <v>98</v>
      </c>
      <c r="I33" s="3" t="s">
        <v>8</v>
      </c>
      <c r="J33" s="3"/>
    </row>
    <row r="34" spans="1:10" ht="45" customHeight="1" x14ac:dyDescent="0.25">
      <c r="A34" s="2">
        <v>33</v>
      </c>
      <c r="B34" s="2" t="s">
        <v>99</v>
      </c>
      <c r="C34" s="2" t="s">
        <v>100</v>
      </c>
      <c r="D34" s="2" t="s">
        <v>38</v>
      </c>
      <c r="E34" s="2" t="s">
        <v>33</v>
      </c>
      <c r="F34" s="2" t="s">
        <v>100</v>
      </c>
      <c r="G34" s="2"/>
      <c r="H34" s="3" t="s">
        <v>100</v>
      </c>
      <c r="I34" s="3" t="s">
        <v>8</v>
      </c>
      <c r="J34" s="3"/>
    </row>
    <row r="35" spans="1:10" ht="45" customHeight="1" x14ac:dyDescent="0.25">
      <c r="A35" s="2">
        <v>34</v>
      </c>
      <c r="B35" s="2" t="s">
        <v>101</v>
      </c>
      <c r="C35" s="2" t="s">
        <v>102</v>
      </c>
      <c r="D35" s="2" t="s">
        <v>38</v>
      </c>
      <c r="E35" s="2" t="s">
        <v>33</v>
      </c>
      <c r="F35" s="2" t="s">
        <v>102</v>
      </c>
      <c r="G35" s="2"/>
      <c r="H35" s="3" t="s">
        <v>102</v>
      </c>
      <c r="I35" s="3" t="s">
        <v>8</v>
      </c>
      <c r="J35" s="3"/>
    </row>
    <row r="36" spans="1:10" ht="45" customHeight="1" x14ac:dyDescent="0.25">
      <c r="A36" s="2">
        <v>35</v>
      </c>
      <c r="B36" s="2" t="s">
        <v>103</v>
      </c>
      <c r="C36" s="2" t="s">
        <v>104</v>
      </c>
      <c r="D36" s="2" t="s">
        <v>38</v>
      </c>
      <c r="E36" s="2" t="s">
        <v>33</v>
      </c>
      <c r="F36" s="2" t="s">
        <v>104</v>
      </c>
      <c r="G36" s="2"/>
      <c r="H36" s="3" t="s">
        <v>104</v>
      </c>
      <c r="I36" s="3" t="s">
        <v>8</v>
      </c>
      <c r="J36" s="3"/>
    </row>
    <row r="37" spans="1:10" ht="45" customHeight="1" x14ac:dyDescent="0.25">
      <c r="A37" s="2">
        <v>36</v>
      </c>
      <c r="B37" s="2" t="s">
        <v>105</v>
      </c>
      <c r="C37" s="2" t="s">
        <v>106</v>
      </c>
      <c r="D37" s="2" t="s">
        <v>38</v>
      </c>
      <c r="E37" s="2" t="s">
        <v>33</v>
      </c>
      <c r="F37" s="2" t="s">
        <v>106</v>
      </c>
      <c r="G37" s="2"/>
      <c r="H37" s="3" t="s">
        <v>106</v>
      </c>
      <c r="I37" s="3" t="s">
        <v>8</v>
      </c>
      <c r="J37" s="3"/>
    </row>
    <row r="38" spans="1:10" ht="45" customHeight="1" x14ac:dyDescent="0.25">
      <c r="A38" s="2">
        <v>37</v>
      </c>
      <c r="B38" s="2" t="s">
        <v>107</v>
      </c>
      <c r="C38" s="2" t="s">
        <v>108</v>
      </c>
      <c r="D38" s="2" t="s">
        <v>96</v>
      </c>
      <c r="E38" s="2" t="s">
        <v>39</v>
      </c>
      <c r="F38" s="2" t="s">
        <v>109</v>
      </c>
      <c r="G38" s="2"/>
      <c r="H38" s="3" t="s">
        <v>109</v>
      </c>
      <c r="I38" s="3" t="s">
        <v>8</v>
      </c>
      <c r="J38" s="3"/>
    </row>
    <row r="39" spans="1:10" ht="45" customHeight="1" x14ac:dyDescent="0.25">
      <c r="A39" s="2">
        <v>38</v>
      </c>
      <c r="B39" s="2" t="s">
        <v>107</v>
      </c>
      <c r="C39" s="2" t="s">
        <v>108</v>
      </c>
      <c r="D39" s="2" t="s">
        <v>96</v>
      </c>
      <c r="E39" s="2" t="s">
        <v>39</v>
      </c>
      <c r="F39" s="2" t="s">
        <v>110</v>
      </c>
      <c r="G39" s="2"/>
      <c r="H39" s="3" t="s">
        <v>110</v>
      </c>
      <c r="I39" s="3" t="s">
        <v>8</v>
      </c>
      <c r="J39" s="3"/>
    </row>
    <row r="40" spans="1:10" ht="45" customHeight="1" x14ac:dyDescent="0.25">
      <c r="A40" s="2">
        <v>39</v>
      </c>
      <c r="B40" s="2" t="s">
        <v>111</v>
      </c>
      <c r="C40" s="2" t="s">
        <v>112</v>
      </c>
      <c r="D40" s="2" t="s">
        <v>96</v>
      </c>
      <c r="E40" s="2" t="s">
        <v>33</v>
      </c>
      <c r="F40" s="2" t="s">
        <v>112</v>
      </c>
      <c r="G40" s="2"/>
      <c r="H40" s="3" t="s">
        <v>112</v>
      </c>
      <c r="I40" s="3" t="s">
        <v>8</v>
      </c>
      <c r="J40" s="3"/>
    </row>
    <row r="41" spans="1:10" ht="45" customHeight="1" x14ac:dyDescent="0.25">
      <c r="A41" s="2">
        <v>40</v>
      </c>
      <c r="B41" s="2" t="s">
        <v>113</v>
      </c>
      <c r="C41" s="2" t="s">
        <v>114</v>
      </c>
      <c r="D41" s="2" t="s">
        <v>96</v>
      </c>
      <c r="E41" s="2" t="s">
        <v>39</v>
      </c>
      <c r="F41" s="4" t="s">
        <v>155</v>
      </c>
      <c r="G41" s="2"/>
      <c r="H41" s="3" t="s">
        <v>115</v>
      </c>
      <c r="I41" s="3" t="s">
        <v>8</v>
      </c>
      <c r="J41" s="3"/>
    </row>
    <row r="42" spans="1:10" ht="45" customHeight="1" x14ac:dyDescent="0.25">
      <c r="A42" s="2">
        <v>41</v>
      </c>
      <c r="B42" s="2" t="s">
        <v>113</v>
      </c>
      <c r="C42" s="2" t="s">
        <v>114</v>
      </c>
      <c r="D42" s="2" t="s">
        <v>96</v>
      </c>
      <c r="E42" s="2" t="s">
        <v>39</v>
      </c>
      <c r="F42" s="6"/>
      <c r="G42" s="2"/>
      <c r="H42" s="3" t="s">
        <v>116</v>
      </c>
      <c r="I42" s="3" t="s">
        <v>8</v>
      </c>
      <c r="J42" s="3"/>
    </row>
    <row r="43" spans="1:10" ht="45" customHeight="1" x14ac:dyDescent="0.25">
      <c r="A43" s="2">
        <v>42</v>
      </c>
      <c r="B43" s="2" t="s">
        <v>113</v>
      </c>
      <c r="C43" s="2" t="s">
        <v>114</v>
      </c>
      <c r="D43" s="2" t="s">
        <v>96</v>
      </c>
      <c r="E43" s="2" t="s">
        <v>39</v>
      </c>
      <c r="F43" s="2" t="s">
        <v>117</v>
      </c>
      <c r="G43" s="2"/>
      <c r="H43" s="3" t="s">
        <v>117</v>
      </c>
      <c r="I43" s="3" t="s">
        <v>8</v>
      </c>
      <c r="J43" s="3"/>
    </row>
    <row r="44" spans="1:10" ht="45" customHeight="1" x14ac:dyDescent="0.25">
      <c r="A44" s="2">
        <v>43</v>
      </c>
      <c r="B44" s="2" t="s">
        <v>113</v>
      </c>
      <c r="C44" s="2" t="s">
        <v>114</v>
      </c>
      <c r="D44" s="2" t="s">
        <v>96</v>
      </c>
      <c r="E44" s="2" t="s">
        <v>39</v>
      </c>
      <c r="F44" s="4" t="s">
        <v>156</v>
      </c>
      <c r="G44" s="2"/>
      <c r="H44" s="3" t="s">
        <v>118</v>
      </c>
      <c r="I44" s="3" t="s">
        <v>8</v>
      </c>
      <c r="J44" s="3"/>
    </row>
    <row r="45" spans="1:10" ht="45" customHeight="1" x14ac:dyDescent="0.25">
      <c r="A45" s="2">
        <v>44</v>
      </c>
      <c r="B45" s="2" t="s">
        <v>113</v>
      </c>
      <c r="C45" s="2" t="s">
        <v>114</v>
      </c>
      <c r="D45" s="2" t="s">
        <v>96</v>
      </c>
      <c r="E45" s="2" t="s">
        <v>39</v>
      </c>
      <c r="F45" s="6"/>
      <c r="G45" s="2"/>
      <c r="H45" s="3" t="s">
        <v>119</v>
      </c>
      <c r="I45" s="3" t="s">
        <v>8</v>
      </c>
      <c r="J45" s="3"/>
    </row>
    <row r="46" spans="1:10" ht="45" customHeight="1" x14ac:dyDescent="0.25">
      <c r="A46" s="2">
        <v>45</v>
      </c>
      <c r="B46" s="2" t="s">
        <v>113</v>
      </c>
      <c r="C46" s="2" t="s">
        <v>114</v>
      </c>
      <c r="D46" s="2" t="s">
        <v>96</v>
      </c>
      <c r="E46" s="2" t="s">
        <v>39</v>
      </c>
      <c r="F46" s="4" t="s">
        <v>157</v>
      </c>
      <c r="G46" s="2"/>
      <c r="H46" s="3" t="s">
        <v>120</v>
      </c>
      <c r="I46" s="3" t="s">
        <v>8</v>
      </c>
      <c r="J46" s="3"/>
    </row>
    <row r="47" spans="1:10" ht="45" customHeight="1" x14ac:dyDescent="0.25">
      <c r="A47" s="2">
        <v>46</v>
      </c>
      <c r="B47" s="2" t="s">
        <v>113</v>
      </c>
      <c r="C47" s="2" t="s">
        <v>114</v>
      </c>
      <c r="D47" s="2" t="s">
        <v>96</v>
      </c>
      <c r="E47" s="2" t="s">
        <v>39</v>
      </c>
      <c r="F47" s="6"/>
      <c r="G47" s="2"/>
      <c r="H47" s="3" t="s">
        <v>121</v>
      </c>
      <c r="I47" s="3" t="s">
        <v>8</v>
      </c>
      <c r="J47" s="3"/>
    </row>
    <row r="48" spans="1:10" ht="45" customHeight="1" x14ac:dyDescent="0.25">
      <c r="A48" s="2">
        <v>47</v>
      </c>
      <c r="B48" s="2" t="s">
        <v>122</v>
      </c>
      <c r="C48" s="2" t="s">
        <v>123</v>
      </c>
      <c r="D48" s="2" t="s">
        <v>96</v>
      </c>
      <c r="E48" s="2" t="s">
        <v>33</v>
      </c>
      <c r="F48" s="2" t="s">
        <v>123</v>
      </c>
      <c r="G48" s="2"/>
      <c r="H48" s="3" t="s">
        <v>123</v>
      </c>
      <c r="I48" s="3" t="s">
        <v>8</v>
      </c>
      <c r="J48" s="3"/>
    </row>
    <row r="49" spans="1:10" ht="45" customHeight="1" x14ac:dyDescent="0.25">
      <c r="A49" s="2">
        <v>48</v>
      </c>
      <c r="B49" s="2" t="s">
        <v>124</v>
      </c>
      <c r="C49" s="2" t="s">
        <v>125</v>
      </c>
      <c r="D49" s="2" t="s">
        <v>96</v>
      </c>
      <c r="E49" s="2" t="s">
        <v>33</v>
      </c>
      <c r="F49" s="2" t="s">
        <v>125</v>
      </c>
      <c r="G49" s="2"/>
      <c r="H49" s="3" t="s">
        <v>125</v>
      </c>
      <c r="I49" s="3" t="s">
        <v>8</v>
      </c>
      <c r="J49" s="3"/>
    </row>
    <row r="50" spans="1:10" ht="45" customHeight="1" x14ac:dyDescent="0.25">
      <c r="A50" s="2">
        <v>49</v>
      </c>
      <c r="B50" s="2" t="s">
        <v>126</v>
      </c>
      <c r="C50" s="2" t="s">
        <v>127</v>
      </c>
      <c r="D50" s="2" t="s">
        <v>96</v>
      </c>
      <c r="E50" s="2" t="s">
        <v>33</v>
      </c>
      <c r="F50" s="2" t="s">
        <v>127</v>
      </c>
      <c r="G50" s="2"/>
      <c r="H50" s="3" t="s">
        <v>127</v>
      </c>
      <c r="I50" s="3" t="s">
        <v>8</v>
      </c>
      <c r="J50" s="3"/>
    </row>
    <row r="51" spans="1:10" ht="45" customHeight="1" x14ac:dyDescent="0.25">
      <c r="A51" s="2">
        <v>50</v>
      </c>
      <c r="B51" s="2" t="s">
        <v>128</v>
      </c>
      <c r="C51" s="2" t="s">
        <v>129</v>
      </c>
      <c r="D51" s="2" t="s">
        <v>96</v>
      </c>
      <c r="E51" s="2" t="s">
        <v>39</v>
      </c>
      <c r="F51" s="4" t="s">
        <v>158</v>
      </c>
      <c r="G51" s="2"/>
      <c r="H51" s="3" t="s">
        <v>130</v>
      </c>
      <c r="I51" s="3" t="s">
        <v>8</v>
      </c>
      <c r="J51" s="3"/>
    </row>
    <row r="52" spans="1:10" ht="45" customHeight="1" x14ac:dyDescent="0.25">
      <c r="A52" s="2">
        <v>51</v>
      </c>
      <c r="B52" s="2" t="s">
        <v>128</v>
      </c>
      <c r="C52" s="2" t="s">
        <v>129</v>
      </c>
      <c r="D52" s="2" t="s">
        <v>96</v>
      </c>
      <c r="E52" s="2" t="s">
        <v>39</v>
      </c>
      <c r="F52" s="5"/>
      <c r="G52" s="2"/>
      <c r="H52" s="3" t="s">
        <v>131</v>
      </c>
      <c r="I52" s="3" t="s">
        <v>8</v>
      </c>
      <c r="J52" s="3"/>
    </row>
    <row r="53" spans="1:10" ht="45" customHeight="1" x14ac:dyDescent="0.25">
      <c r="A53" s="2">
        <v>52</v>
      </c>
      <c r="B53" s="2" t="s">
        <v>128</v>
      </c>
      <c r="C53" s="2" t="s">
        <v>129</v>
      </c>
      <c r="D53" s="2" t="s">
        <v>96</v>
      </c>
      <c r="E53" s="2" t="s">
        <v>39</v>
      </c>
      <c r="F53" s="6"/>
      <c r="G53" s="2"/>
      <c r="H53" s="3" t="s">
        <v>132</v>
      </c>
      <c r="I53" s="3" t="s">
        <v>8</v>
      </c>
      <c r="J53" s="3"/>
    </row>
    <row r="54" spans="1:10" ht="45" customHeight="1" x14ac:dyDescent="0.25">
      <c r="A54" s="2">
        <v>53</v>
      </c>
      <c r="B54" s="2" t="s">
        <v>133</v>
      </c>
      <c r="C54" s="2" t="s">
        <v>134</v>
      </c>
      <c r="D54" s="2" t="s">
        <v>96</v>
      </c>
      <c r="E54" s="2" t="s">
        <v>33</v>
      </c>
      <c r="F54" s="2" t="s">
        <v>134</v>
      </c>
      <c r="G54" s="2"/>
      <c r="H54" s="3" t="s">
        <v>134</v>
      </c>
      <c r="I54" s="3" t="s">
        <v>8</v>
      </c>
      <c r="J54" s="3"/>
    </row>
  </sheetData>
  <autoFilter ref="A1:J54" xr:uid="{00000000-0009-0000-0000-000001000000}"/>
  <mergeCells count="8">
    <mergeCell ref="F46:F47"/>
    <mergeCell ref="F51:F53"/>
    <mergeCell ref="F10:F13"/>
    <mergeCell ref="F14:F16"/>
    <mergeCell ref="F17:F19"/>
    <mergeCell ref="F30:F31"/>
    <mergeCell ref="F41:F42"/>
    <mergeCell ref="F44:F45"/>
  </mergeCells>
  <conditionalFormatting sqref="A2:J10 A14:J14 A11:E13 G11:J13 A17:J17 A15:E16 G15:J16 A20:J30 A18:E19 G18:J19 A32:J41 A31:E31 G31:J31 A43:J44 A42:E42 G42:J42 A46:J46 A45:E45 G45:J45 A48:J51 A47:E47 G47:J47 A54:J54 A52:E53 G52:J53">
    <cfRule type="expression" dxfId="1" priority="1">
      <formula>$I2="معتمد"</formula>
    </cfRule>
    <cfRule type="expression" dxfId="0" priority="2">
      <formula>$I2="مرفوض"</formula>
    </cfRule>
  </conditionalFormatting>
  <dataValidations count="1">
    <dataValidation type="list" errorTitle="قيمة غير معتمدة" error="اختر قرارًا من القائمة." sqref="I2:I54" xr:uid="{00000000-0002-0000-0100-000000000000}">
      <formula1>"قيد المراجعة,معتمد,تعديل مطلوب,مرفوض"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rightToLeft="1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6" customWidth="1"/>
    <col min="2" max="2" width="78" customWidth="1"/>
    <col min="3" max="3" width="18" customWidth="1"/>
    <col min="4" max="4" width="12" customWidth="1"/>
  </cols>
  <sheetData>
    <row r="1" spans="1:4" ht="34.049999999999997" customHeight="1" x14ac:dyDescent="0.25">
      <c r="A1" s="1" t="s">
        <v>135</v>
      </c>
      <c r="B1" s="1" t="s">
        <v>136</v>
      </c>
      <c r="C1" s="1" t="s">
        <v>137</v>
      </c>
      <c r="D1" s="1" t="s">
        <v>138</v>
      </c>
    </row>
    <row r="2" spans="1:4" ht="31.95" customHeight="1" x14ac:dyDescent="0.25">
      <c r="A2" s="2" t="s">
        <v>30</v>
      </c>
      <c r="B2" s="2" t="s">
        <v>31</v>
      </c>
      <c r="C2" s="2"/>
      <c r="D2" s="2" t="s">
        <v>139</v>
      </c>
    </row>
    <row r="3" spans="1:4" ht="31.95" customHeight="1" x14ac:dyDescent="0.25">
      <c r="A3" s="2" t="s">
        <v>38</v>
      </c>
      <c r="B3" s="2" t="s">
        <v>140</v>
      </c>
      <c r="C3" s="2"/>
      <c r="D3" s="2" t="s">
        <v>139</v>
      </c>
    </row>
    <row r="4" spans="1:4" ht="31.95" customHeight="1" x14ac:dyDescent="0.25">
      <c r="A4" s="2" t="s">
        <v>96</v>
      </c>
      <c r="B4" s="2" t="s">
        <v>141</v>
      </c>
      <c r="C4" s="2"/>
      <c r="D4" s="2" t="s">
        <v>139</v>
      </c>
    </row>
    <row r="5" spans="1:4" ht="31.95" customHeight="1" x14ac:dyDescent="0.25">
      <c r="A5" s="2" t="s">
        <v>34</v>
      </c>
      <c r="B5" s="2" t="s">
        <v>35</v>
      </c>
      <c r="C5" s="2"/>
      <c r="D5" s="2" t="s">
        <v>139</v>
      </c>
    </row>
    <row r="6" spans="1:4" ht="31.95" customHeight="1" x14ac:dyDescent="0.25">
      <c r="A6" s="2" t="s">
        <v>36</v>
      </c>
      <c r="B6" s="2" t="s">
        <v>37</v>
      </c>
      <c r="C6" s="2" t="s">
        <v>38</v>
      </c>
      <c r="D6" s="2" t="s">
        <v>139</v>
      </c>
    </row>
    <row r="7" spans="1:4" ht="31.95" customHeight="1" x14ac:dyDescent="0.25">
      <c r="A7" s="2" t="s">
        <v>42</v>
      </c>
      <c r="B7" s="2" t="s">
        <v>43</v>
      </c>
      <c r="C7" s="2" t="s">
        <v>38</v>
      </c>
      <c r="D7" s="2" t="s">
        <v>139</v>
      </c>
    </row>
    <row r="8" spans="1:4" ht="31.95" customHeight="1" x14ac:dyDescent="0.25">
      <c r="A8" s="2" t="s">
        <v>46</v>
      </c>
      <c r="B8" s="2" t="s">
        <v>47</v>
      </c>
      <c r="C8" s="2" t="s">
        <v>38</v>
      </c>
      <c r="D8" s="2" t="s">
        <v>139</v>
      </c>
    </row>
    <row r="9" spans="1:4" ht="31.95" customHeight="1" x14ac:dyDescent="0.25">
      <c r="A9" s="2" t="s">
        <v>50</v>
      </c>
      <c r="B9" s="2" t="s">
        <v>51</v>
      </c>
      <c r="C9" s="2" t="s">
        <v>38</v>
      </c>
      <c r="D9" s="2" t="s">
        <v>139</v>
      </c>
    </row>
    <row r="10" spans="1:4" ht="31.95" customHeight="1" x14ac:dyDescent="0.25">
      <c r="A10" s="2" t="s">
        <v>59</v>
      </c>
      <c r="B10" s="2" t="s">
        <v>60</v>
      </c>
      <c r="C10" s="2" t="s">
        <v>38</v>
      </c>
      <c r="D10" s="2" t="s">
        <v>139</v>
      </c>
    </row>
    <row r="11" spans="1:4" ht="31.95" customHeight="1" x14ac:dyDescent="0.25">
      <c r="A11" s="2" t="s">
        <v>64</v>
      </c>
      <c r="B11" s="2" t="s">
        <v>65</v>
      </c>
      <c r="C11" s="2" t="s">
        <v>38</v>
      </c>
      <c r="D11" s="2" t="s">
        <v>139</v>
      </c>
    </row>
    <row r="12" spans="1:4" ht="31.95" customHeight="1" x14ac:dyDescent="0.25">
      <c r="A12" s="2" t="s">
        <v>66</v>
      </c>
      <c r="B12" s="2" t="s">
        <v>67</v>
      </c>
      <c r="C12" s="2" t="s">
        <v>38</v>
      </c>
      <c r="D12" s="2" t="s">
        <v>139</v>
      </c>
    </row>
    <row r="13" spans="1:4" ht="31.95" customHeight="1" x14ac:dyDescent="0.25">
      <c r="A13" s="2" t="s">
        <v>68</v>
      </c>
      <c r="B13" s="2" t="s">
        <v>69</v>
      </c>
      <c r="C13" s="2" t="s">
        <v>38</v>
      </c>
      <c r="D13" s="2" t="s">
        <v>139</v>
      </c>
    </row>
    <row r="14" spans="1:4" ht="31.95" customHeight="1" x14ac:dyDescent="0.25">
      <c r="A14" s="2" t="s">
        <v>142</v>
      </c>
      <c r="B14" s="2" t="s">
        <v>74</v>
      </c>
      <c r="C14" s="2" t="s">
        <v>38</v>
      </c>
      <c r="D14" s="2" t="s">
        <v>139</v>
      </c>
    </row>
    <row r="15" spans="1:4" ht="31.95" customHeight="1" x14ac:dyDescent="0.25">
      <c r="A15" s="2" t="s">
        <v>77</v>
      </c>
      <c r="B15" s="2" t="s">
        <v>78</v>
      </c>
      <c r="C15" s="2" t="s">
        <v>38</v>
      </c>
      <c r="D15" s="2" t="s">
        <v>139</v>
      </c>
    </row>
    <row r="16" spans="1:4" ht="31.95" customHeight="1" x14ac:dyDescent="0.25">
      <c r="A16" s="2" t="s">
        <v>143</v>
      </c>
      <c r="B16" s="2" t="s">
        <v>81</v>
      </c>
      <c r="C16" s="2" t="s">
        <v>38</v>
      </c>
      <c r="D16" s="2" t="s">
        <v>139</v>
      </c>
    </row>
    <row r="17" spans="1:4" ht="31.95" customHeight="1" x14ac:dyDescent="0.25">
      <c r="A17" s="2" t="s">
        <v>83</v>
      </c>
      <c r="B17" s="2" t="s">
        <v>84</v>
      </c>
      <c r="C17" s="2" t="s">
        <v>38</v>
      </c>
      <c r="D17" s="2" t="s">
        <v>139</v>
      </c>
    </row>
    <row r="18" spans="1:4" ht="31.95" customHeight="1" x14ac:dyDescent="0.25">
      <c r="A18" s="2" t="s">
        <v>88</v>
      </c>
      <c r="B18" s="2" t="s">
        <v>89</v>
      </c>
      <c r="C18" s="2" t="s">
        <v>38</v>
      </c>
      <c r="D18" s="2" t="s">
        <v>139</v>
      </c>
    </row>
    <row r="19" spans="1:4" ht="31.95" customHeight="1" x14ac:dyDescent="0.25">
      <c r="A19" s="2" t="s">
        <v>90</v>
      </c>
      <c r="B19" s="2" t="s">
        <v>91</v>
      </c>
      <c r="C19" s="2" t="s">
        <v>38</v>
      </c>
      <c r="D19" s="2" t="s">
        <v>139</v>
      </c>
    </row>
    <row r="20" spans="1:4" ht="31.95" customHeight="1" x14ac:dyDescent="0.25">
      <c r="A20" s="2" t="s">
        <v>94</v>
      </c>
      <c r="B20" s="2" t="s">
        <v>95</v>
      </c>
      <c r="C20" s="2" t="s">
        <v>96</v>
      </c>
      <c r="D20" s="2" t="s">
        <v>139</v>
      </c>
    </row>
    <row r="21" spans="1:4" ht="31.95" customHeight="1" x14ac:dyDescent="0.25">
      <c r="A21" s="2" t="s">
        <v>97</v>
      </c>
      <c r="B21" s="2" t="s">
        <v>98</v>
      </c>
      <c r="C21" s="2" t="s">
        <v>38</v>
      </c>
      <c r="D21" s="2" t="s">
        <v>139</v>
      </c>
    </row>
    <row r="22" spans="1:4" ht="31.95" customHeight="1" x14ac:dyDescent="0.25">
      <c r="A22" s="2" t="s">
        <v>99</v>
      </c>
      <c r="B22" s="2" t="s">
        <v>100</v>
      </c>
      <c r="C22" s="2" t="s">
        <v>38</v>
      </c>
      <c r="D22" s="2" t="s">
        <v>139</v>
      </c>
    </row>
    <row r="23" spans="1:4" ht="31.95" customHeight="1" x14ac:dyDescent="0.25">
      <c r="A23" s="2" t="s">
        <v>101</v>
      </c>
      <c r="B23" s="2" t="s">
        <v>102</v>
      </c>
      <c r="C23" s="2" t="s">
        <v>38</v>
      </c>
      <c r="D23" s="2" t="s">
        <v>139</v>
      </c>
    </row>
    <row r="24" spans="1:4" ht="31.95" customHeight="1" x14ac:dyDescent="0.25">
      <c r="A24" s="2" t="s">
        <v>103</v>
      </c>
      <c r="B24" s="2" t="s">
        <v>104</v>
      </c>
      <c r="C24" s="2" t="s">
        <v>38</v>
      </c>
      <c r="D24" s="2" t="s">
        <v>139</v>
      </c>
    </row>
    <row r="25" spans="1:4" ht="31.95" customHeight="1" x14ac:dyDescent="0.25">
      <c r="A25" s="2" t="s">
        <v>105</v>
      </c>
      <c r="B25" s="2" t="s">
        <v>106</v>
      </c>
      <c r="C25" s="2" t="s">
        <v>38</v>
      </c>
      <c r="D25" s="2" t="s">
        <v>139</v>
      </c>
    </row>
    <row r="26" spans="1:4" ht="31.95" customHeight="1" x14ac:dyDescent="0.25">
      <c r="A26" s="2" t="s">
        <v>107</v>
      </c>
      <c r="B26" s="2" t="s">
        <v>108</v>
      </c>
      <c r="C26" s="2" t="s">
        <v>96</v>
      </c>
      <c r="D26" s="2" t="s">
        <v>139</v>
      </c>
    </row>
    <row r="27" spans="1:4" ht="31.95" customHeight="1" x14ac:dyDescent="0.25">
      <c r="A27" s="2" t="s">
        <v>111</v>
      </c>
      <c r="B27" s="2" t="s">
        <v>112</v>
      </c>
      <c r="C27" s="2" t="s">
        <v>96</v>
      </c>
      <c r="D27" s="2" t="s">
        <v>139</v>
      </c>
    </row>
    <row r="28" spans="1:4" ht="31.95" customHeight="1" x14ac:dyDescent="0.25">
      <c r="A28" s="2" t="s">
        <v>113</v>
      </c>
      <c r="B28" s="2" t="s">
        <v>114</v>
      </c>
      <c r="C28" s="2" t="s">
        <v>96</v>
      </c>
      <c r="D28" s="2" t="s">
        <v>139</v>
      </c>
    </row>
    <row r="29" spans="1:4" ht="31.95" customHeight="1" x14ac:dyDescent="0.25">
      <c r="A29" s="2" t="s">
        <v>144</v>
      </c>
      <c r="B29" s="2" t="s">
        <v>82</v>
      </c>
      <c r="C29" s="2" t="s">
        <v>96</v>
      </c>
      <c r="D29" s="2" t="s">
        <v>139</v>
      </c>
    </row>
    <row r="30" spans="1:4" ht="31.95" customHeight="1" x14ac:dyDescent="0.25">
      <c r="A30" s="2" t="s">
        <v>122</v>
      </c>
      <c r="B30" s="2" t="s">
        <v>123</v>
      </c>
      <c r="C30" s="2" t="s">
        <v>96</v>
      </c>
      <c r="D30" s="2" t="s">
        <v>139</v>
      </c>
    </row>
    <row r="31" spans="1:4" ht="31.95" customHeight="1" x14ac:dyDescent="0.25">
      <c r="A31" s="2" t="s">
        <v>124</v>
      </c>
      <c r="B31" s="2" t="s">
        <v>125</v>
      </c>
      <c r="C31" s="2" t="s">
        <v>96</v>
      </c>
      <c r="D31" s="2" t="s">
        <v>139</v>
      </c>
    </row>
    <row r="32" spans="1:4" ht="31.95" customHeight="1" x14ac:dyDescent="0.25">
      <c r="A32" s="2" t="s">
        <v>145</v>
      </c>
      <c r="B32" s="2" t="s">
        <v>75</v>
      </c>
      <c r="C32" s="2" t="s">
        <v>96</v>
      </c>
      <c r="D32" s="2" t="s">
        <v>139</v>
      </c>
    </row>
    <row r="33" spans="1:4" ht="31.95" customHeight="1" x14ac:dyDescent="0.25">
      <c r="A33" s="2" t="s">
        <v>126</v>
      </c>
      <c r="B33" s="2" t="s">
        <v>127</v>
      </c>
      <c r="C33" s="2" t="s">
        <v>96</v>
      </c>
      <c r="D33" s="2" t="s">
        <v>139</v>
      </c>
    </row>
    <row r="34" spans="1:4" ht="31.95" customHeight="1" x14ac:dyDescent="0.25">
      <c r="A34" s="2" t="s">
        <v>128</v>
      </c>
      <c r="B34" s="2" t="s">
        <v>129</v>
      </c>
      <c r="C34" s="2" t="s">
        <v>96</v>
      </c>
      <c r="D34" s="2" t="s">
        <v>139</v>
      </c>
    </row>
    <row r="35" spans="1:4" ht="31.95" customHeight="1" x14ac:dyDescent="0.25">
      <c r="A35" s="2" t="s">
        <v>133</v>
      </c>
      <c r="B35" s="2" t="s">
        <v>134</v>
      </c>
      <c r="C35" s="2" t="s">
        <v>96</v>
      </c>
      <c r="D35" s="2" t="s">
        <v>139</v>
      </c>
    </row>
  </sheetData>
  <autoFilter ref="A1:D3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rightToLeft="1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34" customWidth="1"/>
    <col min="2" max="2" width="35" customWidth="1"/>
  </cols>
  <sheetData>
    <row r="1" spans="1:2" ht="34.049999999999997" customHeight="1" x14ac:dyDescent="0.25">
      <c r="A1" s="1" t="s">
        <v>146</v>
      </c>
      <c r="B1" s="1" t="s">
        <v>147</v>
      </c>
    </row>
    <row r="2" spans="1:2" x14ac:dyDescent="0.25">
      <c r="A2" s="2" t="s">
        <v>148</v>
      </c>
      <c r="B2" s="2">
        <f>COUNTA('مسودة الاعتماد'!A2:A54)</f>
        <v>53</v>
      </c>
    </row>
    <row r="3" spans="1:2" x14ac:dyDescent="0.25">
      <c r="A3" s="2" t="s">
        <v>8</v>
      </c>
      <c r="B3" s="2">
        <f>COUNTIF('مسودة الاعتماد'!I2:I54,"قيد المراجعة")</f>
        <v>53</v>
      </c>
    </row>
    <row r="4" spans="1:2" x14ac:dyDescent="0.25">
      <c r="A4" s="2" t="s">
        <v>10</v>
      </c>
      <c r="B4" s="2">
        <f>COUNTIF('مسودة الاعتماد'!I2:I54,"معتمد")</f>
        <v>0</v>
      </c>
    </row>
    <row r="5" spans="1:2" x14ac:dyDescent="0.25">
      <c r="A5" s="2" t="s">
        <v>12</v>
      </c>
      <c r="B5" s="2">
        <f>COUNTIF('مسودة الاعتماد'!I2:I54,"تعديل مطلوب")</f>
        <v>0</v>
      </c>
    </row>
    <row r="6" spans="1:2" x14ac:dyDescent="0.25">
      <c r="A6" s="2" t="s">
        <v>14</v>
      </c>
      <c r="B6" s="2">
        <f>COUNTIF('مسودة الاعتماد'!I2:I54,"مرفوض")</f>
        <v>0</v>
      </c>
    </row>
    <row r="7" spans="1:2" x14ac:dyDescent="0.25">
      <c r="A7" s="2" t="s">
        <v>149</v>
      </c>
      <c r="B7" s="2" t="str">
        <f>IF(B3=0,"نعم","لا - توجد بنود قيد المراجعة")</f>
        <v>لا - توجد بنود قيد المراجعة</v>
      </c>
    </row>
  </sheetData>
  <autoFilter ref="A1:B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تعليمات الاعتماد</vt:lpstr>
      <vt:lpstr>مسودة الاعتماد</vt:lpstr>
      <vt:lpstr>مرجع الملف الأصلي</vt:lpstr>
      <vt:lpstr>ملخص المراجعة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2026-07-13T15:14:16Z</dcterms:created>
  <dcterms:modified xsi:type="dcterms:W3CDTF">2026-07-13T15:24:37Z</dcterms:modified>
</cp:coreProperties>
</file>